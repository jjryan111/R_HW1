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<sst xmlns="http://schemas.openxmlformats.org/spreadsheetml/2006/main" count="98" uniqueCount="45">
  <si>
    <t xml:space="preserve">Original</t>
  </si>
  <si>
    <t xml:space="preserve">Mean</t>
  </si>
  <si>
    <t xml:space="preserve">St Dev</t>
  </si>
  <si>
    <t xml:space="preserve">Median</t>
  </si>
  <si>
    <t xml:space="preserve">Smooth (Integer)</t>
  </si>
  <si>
    <t xml:space="preserve">Differemce</t>
  </si>
  <si>
    <t xml:space="preserve">\</t>
  </si>
  <si>
    <t xml:space="preserve">Difference %</t>
  </si>
  <si>
    <t xml:space="preserve">Smooth</t>
  </si>
  <si>
    <t xml:space="preserve">Difference</t>
  </si>
  <si>
    <t xml:space="preserve">Department</t>
  </si>
  <si>
    <t xml:space="preserve">Age</t>
  </si>
  <si>
    <t xml:space="preserve">Salary</t>
  </si>
  <si>
    <t xml:space="preserve">Status</t>
  </si>
  <si>
    <t xml:space="preserve">Count</t>
  </si>
  <si>
    <t xml:space="preserve">sales</t>
  </si>
  <si>
    <t xml:space="preserve">31_35</t>
  </si>
  <si>
    <t xml:space="preserve">46K_50K</t>
  </si>
  <si>
    <t xml:space="preserve">senior</t>
  </si>
  <si>
    <t xml:space="preserve">26_30</t>
  </si>
  <si>
    <t xml:space="preserve">26K_30K</t>
  </si>
  <si>
    <t xml:space="preserve">junior</t>
  </si>
  <si>
    <t xml:space="preserve">31K_35K</t>
  </si>
  <si>
    <t xml:space="preserve">systems</t>
  </si>
  <si>
    <t xml:space="preserve">21_25</t>
  </si>
  <si>
    <t xml:space="preserve">66K_70K</t>
  </si>
  <si>
    <t xml:space="preserve">41_45</t>
  </si>
  <si>
    <t xml:space="preserve">marketing</t>
  </si>
  <si>
    <t xml:space="preserve">36_40</t>
  </si>
  <si>
    <t xml:space="preserve">41K_45K</t>
  </si>
  <si>
    <t xml:space="preserve">secretary</t>
  </si>
  <si>
    <t xml:space="preserve">46_50</t>
  </si>
  <si>
    <t xml:space="preserve">36K_40K</t>
  </si>
  <si>
    <t xml:space="preserve">P</t>
  </si>
  <si>
    <t xml:space="preserve">Entropy</t>
  </si>
  <si>
    <t xml:space="preserve">Juniors</t>
  </si>
  <si>
    <t xml:space="preserve">Seniors</t>
  </si>
  <si>
    <t xml:space="preserve">Total </t>
  </si>
  <si>
    <t xml:space="preserve">Counts</t>
  </si>
  <si>
    <t xml:space="preserve">Senior</t>
  </si>
  <si>
    <t xml:space="preserve">Junior</t>
  </si>
  <si>
    <t xml:space="preserve">P(S)</t>
  </si>
  <si>
    <t xml:space="preserve">P(J)</t>
  </si>
  <si>
    <t xml:space="preserve">SUM(sub entropies)</t>
  </si>
  <si>
    <t xml:space="preserve">IG(system, department)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</si>
</sst>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color rgb="FF000000"/>
      <name val="serif"/>
      <family val="0"/>
    </font>
    <font>
      <b val="true"/>
      <sz val="12"/>
      <name val=""/>
      <family val="1"/>
      <charset val="1"/>
    </font>
    <font>
      <sz val="12"/>
      <name val="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6"/>
  <sheetViews>
    <sheetView showFormulas="false" showGridLines="true" showRowColHeaders="true" showZeros="true" rightToLeft="false" tabSelected="true" showOutlineSymbols="true" defaultGridColor="true" view="normal" topLeftCell="A101" colorId="64" zoomScale="100" zoomScaleNormal="100" zoomScalePageLayoutView="100" workbookViewId="0">
      <selection pane="topLeft" activeCell="C85" activeCellId="3" sqref="C78 C81 C83 C8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22.53"/>
    <col collapsed="false" customWidth="true" hidden="false" outlineLevel="0" max="3" min="3" style="0" width="20.86"/>
    <col collapsed="false" customWidth="true" hidden="false" outlineLevel="0" max="6" min="4" style="0" width="19.75"/>
    <col collapsed="false" customWidth="true" hidden="false" outlineLevel="0" max="8" min="7" style="0" width="17.71"/>
    <col collapsed="false" customWidth="true" hidden="false" outlineLevel="0" max="9" min="9" style="0" width="20.77"/>
  </cols>
  <sheetData>
    <row r="1" customFormat="false" ht="13.2" hidden="false" customHeight="false" outlineLevel="0" collapsed="false">
      <c r="A1" s="1" t="n">
        <v>13</v>
      </c>
      <c r="B1" s="0" t="n">
        <v>15</v>
      </c>
      <c r="C1" s="0" t="n">
        <v>16</v>
      </c>
      <c r="D1" s="0" t="n">
        <v>16</v>
      </c>
      <c r="E1" s="0" t="n">
        <v>19</v>
      </c>
      <c r="F1" s="0" t="n">
        <v>20</v>
      </c>
      <c r="G1" s="0" t="n">
        <v>20</v>
      </c>
      <c r="H1" s="0" t="n">
        <v>21</v>
      </c>
      <c r="I1" s="0" t="n">
        <v>22</v>
      </c>
      <c r="J1" s="0" t="n">
        <v>22</v>
      </c>
      <c r="K1" s="0" t="n">
        <v>25</v>
      </c>
      <c r="L1" s="0" t="n">
        <v>25</v>
      </c>
      <c r="M1" s="0" t="n">
        <v>25</v>
      </c>
      <c r="N1" s="0" t="n">
        <v>25</v>
      </c>
      <c r="O1" s="0" t="n">
        <v>30</v>
      </c>
      <c r="P1" s="0" t="n">
        <v>33</v>
      </c>
      <c r="Q1" s="0" t="n">
        <v>33</v>
      </c>
      <c r="R1" s="0" t="n">
        <v>35</v>
      </c>
      <c r="S1" s="0" t="n">
        <v>35</v>
      </c>
      <c r="T1" s="0" t="n">
        <v>35</v>
      </c>
      <c r="U1" s="0" t="n">
        <v>35</v>
      </c>
      <c r="V1" s="0" t="n">
        <v>36</v>
      </c>
      <c r="W1" s="0" t="n">
        <v>40</v>
      </c>
      <c r="X1" s="0" t="n">
        <v>45</v>
      </c>
      <c r="Y1" s="0" t="n">
        <v>46</v>
      </c>
      <c r="Z1" s="0" t="n">
        <v>52</v>
      </c>
      <c r="AA1" s="0" t="n">
        <v>70</v>
      </c>
    </row>
    <row r="2" customFormat="false" ht="12.8" hidden="false" customHeight="false" outlineLevel="0" collapsed="false">
      <c r="A2" s="1" t="s">
        <v>0</v>
      </c>
    </row>
    <row r="3" customFormat="false" ht="12.8" hidden="false" customHeight="false" outlineLevel="0" collapsed="false">
      <c r="A3" s="0" t="s">
        <v>1</v>
      </c>
      <c r="B3" s="0" t="n">
        <f aca="false">AVERAGE(A1:AA1)</f>
        <v>29.962962962963</v>
      </c>
    </row>
    <row r="4" customFormat="false" ht="12.8" hidden="false" customHeight="false" outlineLevel="0" collapsed="false">
      <c r="A4" s="0" t="s">
        <v>2</v>
      </c>
      <c r="B4" s="0" t="n">
        <f aca="false">_xlfn.STDEV.P(A1:AA1)</f>
        <v>12.7001938786061</v>
      </c>
    </row>
    <row r="5" customFormat="false" ht="12.8" hidden="false" customHeight="false" outlineLevel="0" collapsed="false">
      <c r="A5" s="0" t="s">
        <v>3</v>
      </c>
      <c r="B5" s="0" t="n">
        <f aca="false">MEDIAN(A1:AA1)</f>
        <v>25</v>
      </c>
    </row>
    <row r="7" customFormat="false" ht="13.2" hidden="false" customHeight="false" outlineLevel="0" collapsed="false">
      <c r="A7" s="1" t="n">
        <v>14</v>
      </c>
      <c r="B7" s="0" t="n">
        <v>14</v>
      </c>
      <c r="C7" s="0" t="n">
        <v>14</v>
      </c>
      <c r="D7" s="0" t="n">
        <v>18</v>
      </c>
      <c r="E7" s="0" t="n">
        <v>18</v>
      </c>
      <c r="F7" s="0" t="n">
        <v>18</v>
      </c>
      <c r="G7" s="0" t="n">
        <v>21</v>
      </c>
      <c r="H7" s="0" t="n">
        <v>21</v>
      </c>
      <c r="I7" s="0" t="n">
        <v>21</v>
      </c>
      <c r="J7" s="0" t="n">
        <v>24</v>
      </c>
      <c r="K7" s="0" t="n">
        <v>24</v>
      </c>
      <c r="L7" s="0" t="n">
        <v>24</v>
      </c>
      <c r="M7" s="0" t="n">
        <v>27</v>
      </c>
      <c r="N7" s="0" t="n">
        <v>27</v>
      </c>
      <c r="O7" s="0" t="n">
        <v>27</v>
      </c>
      <c r="P7" s="0" t="n">
        <v>34</v>
      </c>
      <c r="Q7" s="0" t="n">
        <v>34</v>
      </c>
      <c r="R7" s="0" t="n">
        <v>34</v>
      </c>
      <c r="S7" s="0" t="n">
        <v>35</v>
      </c>
      <c r="T7" s="0" t="n">
        <v>35</v>
      </c>
      <c r="U7" s="0" t="n">
        <v>35</v>
      </c>
      <c r="V7" s="0" t="n">
        <v>40</v>
      </c>
      <c r="W7" s="0" t="n">
        <v>40</v>
      </c>
      <c r="X7" s="0" t="n">
        <v>40</v>
      </c>
      <c r="Y7" s="0" t="n">
        <v>56</v>
      </c>
      <c r="Z7" s="0" t="n">
        <v>56</v>
      </c>
      <c r="AA7" s="0" t="n">
        <v>56</v>
      </c>
    </row>
    <row r="8" customFormat="false" ht="13.2" hidden="false" customHeight="false" outlineLevel="0" collapsed="false">
      <c r="A8" s="1" t="s">
        <v>4</v>
      </c>
    </row>
    <row r="9" customFormat="false" ht="12.8" hidden="false" customHeight="false" outlineLevel="0" collapsed="false">
      <c r="A9" s="0" t="s">
        <v>1</v>
      </c>
      <c r="B9" s="0" t="n">
        <f aca="false">AVERAGE(A7:AA7)</f>
        <v>29.8888888888889</v>
      </c>
    </row>
    <row r="10" customFormat="false" ht="12.8" hidden="false" customHeight="false" outlineLevel="0" collapsed="false">
      <c r="A10" s="0" t="s">
        <v>2</v>
      </c>
      <c r="B10" s="0" t="n">
        <f aca="false">_xlfn.STDEV.P(A7:AA7)</f>
        <v>12.2151494687216</v>
      </c>
    </row>
    <row r="11" customFormat="false" ht="12.8" hidden="false" customHeight="false" outlineLevel="0" collapsed="false">
      <c r="A11" s="0" t="s">
        <v>3</v>
      </c>
      <c r="B11" s="0" t="n">
        <f aca="false">MEDIAN(A7:AA7)</f>
        <v>27</v>
      </c>
    </row>
    <row r="12" customFormat="false" ht="12.8" hidden="false" customHeight="false" outlineLevel="0" collapsed="false">
      <c r="A12" s="0" t="s">
        <v>5</v>
      </c>
    </row>
    <row r="13" customFormat="false" ht="12.8" hidden="false" customHeight="false" outlineLevel="0" collapsed="false">
      <c r="A13" s="0" t="s">
        <v>6</v>
      </c>
      <c r="B13" s="0" t="n">
        <f aca="false">B3-B9</f>
        <v>0.0740740740740726</v>
      </c>
    </row>
    <row r="14" customFormat="false" ht="12.8" hidden="false" customHeight="false" outlineLevel="0" collapsed="false">
      <c r="B14" s="0" t="n">
        <f aca="false">B4-B10</f>
        <v>0.485044409884486</v>
      </c>
    </row>
    <row r="15" customFormat="false" ht="12.8" hidden="false" customHeight="false" outlineLevel="0" collapsed="false">
      <c r="B15" s="0" t="n">
        <f aca="false">B5-B11</f>
        <v>-2</v>
      </c>
    </row>
    <row r="16" customFormat="false" ht="12.8" hidden="false" customHeight="false" outlineLevel="0" collapsed="false">
      <c r="A16" s="0" t="s">
        <v>7</v>
      </c>
    </row>
    <row r="17" customFormat="false" ht="12.8" hidden="false" customHeight="false" outlineLevel="0" collapsed="false">
      <c r="B17" s="0" t="n">
        <f aca="false">(B13/B9)*100</f>
        <v>0.247831474597269</v>
      </c>
    </row>
    <row r="18" customFormat="false" ht="12.8" hidden="false" customHeight="false" outlineLevel="0" collapsed="false">
      <c r="B18" s="0" t="n">
        <f aca="false">(B14/B10)*100</f>
        <v>3.97084301855251</v>
      </c>
    </row>
    <row r="19" customFormat="false" ht="12.8" hidden="false" customHeight="false" outlineLevel="0" collapsed="false">
      <c r="B19" s="0" t="n">
        <f aca="false">(B15/B11)*100</f>
        <v>-7.40740740740741</v>
      </c>
    </row>
    <row r="21" customFormat="false" ht="13.2" hidden="false" customHeight="false" outlineLevel="0" collapsed="false">
      <c r="A21" s="1" t="n">
        <v>14.67</v>
      </c>
      <c r="B21" s="1" t="n">
        <v>14.67</v>
      </c>
      <c r="C21" s="1" t="n">
        <v>14.67</v>
      </c>
      <c r="D21" s="0" t="n">
        <v>18.33</v>
      </c>
      <c r="E21" s="0" t="n">
        <v>18.33</v>
      </c>
      <c r="F21" s="0" t="n">
        <v>18.33</v>
      </c>
      <c r="G21" s="0" t="n">
        <v>21</v>
      </c>
      <c r="H21" s="0" t="n">
        <v>21</v>
      </c>
      <c r="I21" s="0" t="n">
        <v>21</v>
      </c>
      <c r="J21" s="0" t="n">
        <v>24</v>
      </c>
      <c r="K21" s="0" t="n">
        <v>24</v>
      </c>
      <c r="L21" s="0" t="n">
        <v>24</v>
      </c>
      <c r="M21" s="0" t="n">
        <v>26.67</v>
      </c>
      <c r="N21" s="0" t="n">
        <v>26.67</v>
      </c>
      <c r="O21" s="0" t="n">
        <v>26.67</v>
      </c>
      <c r="P21" s="0" t="n">
        <v>33.67</v>
      </c>
      <c r="Q21" s="0" t="n">
        <v>33.67</v>
      </c>
      <c r="R21" s="0" t="n">
        <v>33.67</v>
      </c>
      <c r="S21" s="0" t="n">
        <v>35</v>
      </c>
      <c r="T21" s="0" t="n">
        <v>35</v>
      </c>
      <c r="U21" s="0" t="n">
        <v>35</v>
      </c>
      <c r="V21" s="0" t="n">
        <v>40.33</v>
      </c>
      <c r="W21" s="0" t="n">
        <v>40.33</v>
      </c>
      <c r="X21" s="0" t="n">
        <v>40.33</v>
      </c>
      <c r="Y21" s="0" t="n">
        <v>56</v>
      </c>
      <c r="Z21" s="0" t="n">
        <v>56</v>
      </c>
      <c r="AA21" s="0" t="n">
        <v>56</v>
      </c>
    </row>
    <row r="22" customFormat="false" ht="13.2" hidden="false" customHeight="false" outlineLevel="0" collapsed="false">
      <c r="A22" s="1" t="s">
        <v>8</v>
      </c>
    </row>
    <row r="23" customFormat="false" ht="12.8" hidden="false" customHeight="false" outlineLevel="0" collapsed="false">
      <c r="A23" s="0" t="s">
        <v>1</v>
      </c>
      <c r="B23" s="0" t="n">
        <f aca="false">AVERAGE(A21:AA21)</f>
        <v>29.9633333333333</v>
      </c>
    </row>
    <row r="24" customFormat="false" ht="12.8" hidden="false" customHeight="false" outlineLevel="0" collapsed="false">
      <c r="A24" s="0" t="s">
        <v>2</v>
      </c>
      <c r="B24" s="0" t="n">
        <f aca="false">_xlfn.STDEV.P(A21:AA21)</f>
        <v>12.1126765553008</v>
      </c>
    </row>
    <row r="25" customFormat="false" ht="12.8" hidden="false" customHeight="false" outlineLevel="0" collapsed="false">
      <c r="A25" s="0" t="s">
        <v>3</v>
      </c>
      <c r="B25" s="0" t="n">
        <f aca="false">MEDIAN(A21:AA21)</f>
        <v>26.67</v>
      </c>
    </row>
    <row r="27" customFormat="false" ht="12.8" hidden="false" customHeight="false" outlineLevel="0" collapsed="false">
      <c r="A27" s="0" t="s">
        <v>9</v>
      </c>
    </row>
    <row r="28" customFormat="false" ht="12.8" hidden="false" customHeight="false" outlineLevel="0" collapsed="false">
      <c r="B28" s="0" t="n">
        <f aca="false">B3-B23</f>
        <v>-0.000370370370372797</v>
      </c>
    </row>
    <row r="29" customFormat="false" ht="12.8" hidden="false" customHeight="false" outlineLevel="0" collapsed="false">
      <c r="B29" s="0" t="n">
        <f aca="false">B4-B24</f>
        <v>0.58751732330531</v>
      </c>
    </row>
    <row r="30" customFormat="false" ht="12.8" hidden="false" customHeight="false" outlineLevel="0" collapsed="false">
      <c r="B30" s="0" t="n">
        <f aca="false">B5-B25</f>
        <v>-1.67</v>
      </c>
    </row>
    <row r="31" customFormat="false" ht="12.8" hidden="false" customHeight="false" outlineLevel="0" collapsed="false">
      <c r="A31" s="0" t="s">
        <v>7</v>
      </c>
    </row>
    <row r="32" customFormat="false" ht="12.8" hidden="false" customHeight="false" outlineLevel="0" collapsed="false">
      <c r="B32" s="0" t="n">
        <f aca="false">(B28/B3)*100</f>
        <v>-0.00123609394314778</v>
      </c>
    </row>
    <row r="33" customFormat="false" ht="12.8" hidden="false" customHeight="false" outlineLevel="0" collapsed="false">
      <c r="B33" s="0" t="n">
        <f aca="false">(B29/B4)*100</f>
        <v>4.62605003451957</v>
      </c>
    </row>
    <row r="34" customFormat="false" ht="12.8" hidden="false" customHeight="false" outlineLevel="0" collapsed="false">
      <c r="B34" s="0" t="n">
        <f aca="false">(B30/B5)*100</f>
        <v>-6.68000000000001</v>
      </c>
    </row>
    <row r="38" customFormat="false" ht="12.8" hidden="false" customHeight="false" outlineLevel="0" collapsed="false">
      <c r="C38" s="0" t="n">
        <f aca="false">35*1.5</f>
        <v>52.5</v>
      </c>
    </row>
    <row r="40" customFormat="false" ht="13.2" hidden="false" customHeight="false" outlineLevel="0" collapsed="false">
      <c r="A40" s="1" t="n">
        <v>13</v>
      </c>
      <c r="B40" s="0" t="n">
        <v>15</v>
      </c>
      <c r="C40" s="0" t="n">
        <v>16</v>
      </c>
      <c r="D40" s="0" t="n">
        <v>16</v>
      </c>
      <c r="E40" s="0" t="n">
        <v>19</v>
      </c>
      <c r="F40" s="0" t="n">
        <v>20</v>
      </c>
      <c r="G40" s="0" t="n">
        <v>20</v>
      </c>
      <c r="H40" s="0" t="n">
        <v>21</v>
      </c>
      <c r="I40" s="0" t="n">
        <v>22</v>
      </c>
      <c r="J40" s="0" t="n">
        <v>22</v>
      </c>
      <c r="K40" s="0" t="n">
        <v>25</v>
      </c>
      <c r="L40" s="0" t="n">
        <v>25</v>
      </c>
      <c r="M40" s="0" t="n">
        <v>25</v>
      </c>
      <c r="N40" s="0" t="n">
        <v>25</v>
      </c>
      <c r="O40" s="0" t="n">
        <v>30</v>
      </c>
      <c r="P40" s="0" t="n">
        <v>33</v>
      </c>
      <c r="Q40" s="0" t="n">
        <v>33</v>
      </c>
      <c r="R40" s="0" t="n">
        <v>35</v>
      </c>
      <c r="S40" s="0" t="n">
        <v>35</v>
      </c>
      <c r="T40" s="0" t="n">
        <v>35</v>
      </c>
      <c r="U40" s="0" t="n">
        <v>35</v>
      </c>
      <c r="V40" s="0" t="n">
        <v>36</v>
      </c>
      <c r="W40" s="0" t="n">
        <v>40</v>
      </c>
      <c r="X40" s="0" t="n">
        <v>45</v>
      </c>
      <c r="Y40" s="0" t="n">
        <v>46</v>
      </c>
      <c r="Z40" s="0" t="n">
        <v>52</v>
      </c>
      <c r="AA40" s="0" t="n">
        <v>70</v>
      </c>
    </row>
    <row r="42" customFormat="false" ht="12.8" hidden="false" customHeight="false" outlineLevel="0" collapsed="false">
      <c r="A42" s="0" t="n">
        <f aca="false">(A40-13)/(70-13)</f>
        <v>0</v>
      </c>
      <c r="B42" s="0" t="n">
        <f aca="false">(B40-13)/(70-13)</f>
        <v>0.0350877192982456</v>
      </c>
      <c r="C42" s="0" t="n">
        <f aca="false">(C40-13)/(70-13)</f>
        <v>0.0526315789473684</v>
      </c>
      <c r="D42" s="0" t="n">
        <f aca="false">(D40-13)/(70-13)</f>
        <v>0.0526315789473684</v>
      </c>
      <c r="E42" s="0" t="n">
        <f aca="false">(E40-13)/(70-13)</f>
        <v>0.105263157894737</v>
      </c>
      <c r="F42" s="0" t="n">
        <f aca="false">(F40-13)/(70-13)</f>
        <v>0.12280701754386</v>
      </c>
      <c r="G42" s="0" t="n">
        <f aca="false">(G40-13)/(70-13)</f>
        <v>0.12280701754386</v>
      </c>
      <c r="H42" s="0" t="n">
        <f aca="false">(H40-13)/(70-13)</f>
        <v>0.140350877192982</v>
      </c>
      <c r="I42" s="0" t="n">
        <f aca="false">(I40-13)/(70-13)</f>
        <v>0.157894736842105</v>
      </c>
      <c r="J42" s="0" t="n">
        <f aca="false">(J40-13)/(70-13)</f>
        <v>0.157894736842105</v>
      </c>
      <c r="K42" s="0" t="n">
        <f aca="false">(K40-13)/(70-13)</f>
        <v>0.210526315789474</v>
      </c>
      <c r="L42" s="0" t="n">
        <f aca="false">(L40-13)/(70-13)</f>
        <v>0.210526315789474</v>
      </c>
      <c r="M42" s="0" t="n">
        <f aca="false">(M40-13)/(70-13)</f>
        <v>0.210526315789474</v>
      </c>
      <c r="N42" s="0" t="n">
        <f aca="false">(N40-13)/(70-13)</f>
        <v>0.210526315789474</v>
      </c>
      <c r="O42" s="0" t="n">
        <f aca="false">(O40-13)/(70-13)</f>
        <v>0.298245614035088</v>
      </c>
      <c r="P42" s="0" t="n">
        <f aca="false">(P40-13)/(70-13)</f>
        <v>0.350877192982456</v>
      </c>
      <c r="Q42" s="0" t="n">
        <f aca="false">(Q40-13)/(70-13)</f>
        <v>0.350877192982456</v>
      </c>
      <c r="R42" s="0" t="n">
        <f aca="false">(R40-13)/(70-13)</f>
        <v>0.385964912280702</v>
      </c>
      <c r="S42" s="0" t="n">
        <f aca="false">(S40-13)/(70-13)</f>
        <v>0.385964912280702</v>
      </c>
      <c r="T42" s="0" t="n">
        <f aca="false">(T40-13)/(70-13)</f>
        <v>0.385964912280702</v>
      </c>
      <c r="U42" s="0" t="n">
        <f aca="false">(U40-13)/(70-13)</f>
        <v>0.385964912280702</v>
      </c>
      <c r="V42" s="0" t="n">
        <f aca="false">(V40-13)/(70-13)</f>
        <v>0.403508771929825</v>
      </c>
      <c r="W42" s="0" t="n">
        <f aca="false">(W40-13)/(70-13)</f>
        <v>0.473684210526316</v>
      </c>
      <c r="X42" s="0" t="n">
        <f aca="false">(X40-13)/(70-13)</f>
        <v>0.56140350877193</v>
      </c>
      <c r="Y42" s="0" t="n">
        <f aca="false">(Y40-13)/(70-13)</f>
        <v>0.578947368421053</v>
      </c>
      <c r="Z42" s="0" t="n">
        <f aca="false">(Z40-13)/(70-13)</f>
        <v>0.68421052631579</v>
      </c>
      <c r="AA42" s="0" t="n">
        <f aca="false">(AA40-13)/(70-13)</f>
        <v>1</v>
      </c>
    </row>
    <row r="44" customFormat="false" ht="12.8" hidden="false" customHeight="false" outlineLevel="0" collapsed="false">
      <c r="A44" s="0" t="n">
        <v>0</v>
      </c>
      <c r="B44" s="0" t="n">
        <v>0.0350877192982456</v>
      </c>
      <c r="C44" s="0" t="n">
        <v>0.0526315789473684</v>
      </c>
      <c r="D44" s="0" t="n">
        <v>0.0526315789473684</v>
      </c>
      <c r="E44" s="0" t="n">
        <v>0.105263157894737</v>
      </c>
      <c r="F44" s="0" t="n">
        <v>0.12280701754386</v>
      </c>
      <c r="G44" s="0" t="n">
        <v>0.12280701754386</v>
      </c>
      <c r="H44" s="0" t="n">
        <v>0.140350877192982</v>
      </c>
      <c r="I44" s="0" t="n">
        <v>0.157894736842105</v>
      </c>
      <c r="J44" s="0" t="n">
        <v>0.157894736842105</v>
      </c>
      <c r="K44" s="0" t="n">
        <v>0.210526315789474</v>
      </c>
      <c r="L44" s="0" t="n">
        <v>0.210526315789474</v>
      </c>
      <c r="M44" s="0" t="n">
        <v>0.210526315789474</v>
      </c>
      <c r="N44" s="0" t="n">
        <v>0.210526315789474</v>
      </c>
      <c r="O44" s="0" t="n">
        <v>0.298245614035088</v>
      </c>
      <c r="P44" s="0" t="n">
        <v>0.350877192982456</v>
      </c>
      <c r="Q44" s="0" t="n">
        <v>0.350877192982456</v>
      </c>
      <c r="R44" s="0" t="n">
        <v>0.385964912280702</v>
      </c>
      <c r="S44" s="0" t="n">
        <v>0.385964912280702</v>
      </c>
      <c r="T44" s="0" t="n">
        <v>0.385964912280702</v>
      </c>
      <c r="U44" s="0" t="n">
        <v>0.385964912280702</v>
      </c>
      <c r="V44" s="0" t="n">
        <v>0.403508771929825</v>
      </c>
      <c r="W44" s="0" t="n">
        <v>0.473684210526316</v>
      </c>
      <c r="X44" s="0" t="n">
        <v>0.56140350877193</v>
      </c>
      <c r="Y44" s="0" t="n">
        <v>0.578947368421053</v>
      </c>
      <c r="Z44" s="0" t="n">
        <v>0.68421052631579</v>
      </c>
      <c r="AA44" s="0" t="n">
        <v>1</v>
      </c>
    </row>
    <row r="46" customFormat="false" ht="12.8" hidden="false" customHeight="false" outlineLevel="0" collapsed="false">
      <c r="A46" s="0" t="n">
        <v>0</v>
      </c>
      <c r="E46" s="0" t="n">
        <v>0.105263157894737</v>
      </c>
    </row>
    <row r="47" customFormat="false" ht="12.8" hidden="false" customHeight="false" outlineLevel="0" collapsed="false">
      <c r="A47" s="0" t="n">
        <v>0.0350877192982456</v>
      </c>
      <c r="E47" s="0" t="n">
        <v>0.12280701754386</v>
      </c>
      <c r="H47" s="0" t="n">
        <f aca="false">(35-B3)/B4</f>
        <v>0.396611034853735</v>
      </c>
    </row>
    <row r="48" customFormat="false" ht="12.8" hidden="false" customHeight="false" outlineLevel="0" collapsed="false">
      <c r="A48" s="0" t="n">
        <v>0.0526315789473684</v>
      </c>
      <c r="E48" s="0" t="n">
        <v>0.12280701754386</v>
      </c>
    </row>
    <row r="49" customFormat="false" ht="12.8" hidden="false" customHeight="false" outlineLevel="0" collapsed="false">
      <c r="A49" s="0" t="n">
        <v>0.0526315789473684</v>
      </c>
      <c r="E49" s="0" t="n">
        <v>0.140350877192982</v>
      </c>
    </row>
    <row r="50" customFormat="false" ht="12.8" hidden="false" customHeight="false" outlineLevel="0" collapsed="false">
      <c r="A50" s="0" t="n">
        <v>0.105263157894737</v>
      </c>
      <c r="E50" s="0" t="n">
        <v>0.157894736842105</v>
      </c>
    </row>
    <row r="51" customFormat="false" ht="12.8" hidden="false" customHeight="false" outlineLevel="0" collapsed="false">
      <c r="A51" s="0" t="n">
        <v>0.12280701754386</v>
      </c>
      <c r="E51" s="0" t="n">
        <v>0.157894736842105</v>
      </c>
    </row>
    <row r="52" customFormat="false" ht="12.8" hidden="false" customHeight="false" outlineLevel="0" collapsed="false">
      <c r="A52" s="0" t="n">
        <v>0.12280701754386</v>
      </c>
      <c r="E52" s="0" t="n">
        <v>0.210526315789474</v>
      </c>
    </row>
    <row r="53" customFormat="false" ht="12.8" hidden="false" customHeight="false" outlineLevel="0" collapsed="false">
      <c r="A53" s="0" t="n">
        <v>0.140350877192982</v>
      </c>
      <c r="E53" s="0" t="n">
        <v>0.210526315789474</v>
      </c>
    </row>
    <row r="54" customFormat="false" ht="12.8" hidden="false" customHeight="false" outlineLevel="0" collapsed="false">
      <c r="A54" s="0" t="n">
        <v>0.157894736842105</v>
      </c>
      <c r="E54" s="0" t="n">
        <v>0.210526315789474</v>
      </c>
    </row>
    <row r="55" customFormat="false" ht="12.8" hidden="false" customHeight="false" outlineLevel="0" collapsed="false">
      <c r="A55" s="0" t="n">
        <v>0.157894736842105</v>
      </c>
      <c r="E55" s="0" t="n">
        <v>0.210526315789474</v>
      </c>
    </row>
    <row r="56" customFormat="false" ht="12.8" hidden="false" customHeight="false" outlineLevel="0" collapsed="false">
      <c r="A56" s="0" t="n">
        <v>0.210526315789474</v>
      </c>
      <c r="E56" s="0" t="n">
        <v>0.298245614035088</v>
      </c>
    </row>
    <row r="57" customFormat="false" ht="12.8" hidden="false" customHeight="false" outlineLevel="0" collapsed="false">
      <c r="A57" s="0" t="n">
        <v>0.210526315789474</v>
      </c>
      <c r="E57" s="0" t="n">
        <v>0.350877192982456</v>
      </c>
    </row>
    <row r="58" customFormat="false" ht="12.8" hidden="false" customHeight="false" outlineLevel="0" collapsed="false">
      <c r="A58" s="0" t="n">
        <v>0.210526315789474</v>
      </c>
      <c r="E58" s="0" t="n">
        <v>0.350877192982456</v>
      </c>
    </row>
    <row r="59" customFormat="false" ht="12.8" hidden="false" customHeight="false" outlineLevel="0" collapsed="false">
      <c r="A59" s="0" t="n">
        <v>0.210526315789474</v>
      </c>
      <c r="E59" s="0" t="n">
        <v>0.385964912280702</v>
      </c>
    </row>
    <row r="60" customFormat="false" ht="12.8" hidden="false" customHeight="false" outlineLevel="0" collapsed="false">
      <c r="A60" s="0" t="n">
        <v>0.298245614035088</v>
      </c>
      <c r="E60" s="0" t="n">
        <v>0.385964912280702</v>
      </c>
    </row>
    <row r="61" customFormat="false" ht="12.8" hidden="false" customHeight="false" outlineLevel="0" collapsed="false">
      <c r="A61" s="0" t="n">
        <v>0.350877192982456</v>
      </c>
      <c r="E61" s="0" t="n">
        <v>0.385964912280702</v>
      </c>
    </row>
    <row r="62" customFormat="false" ht="12.8" hidden="false" customHeight="false" outlineLevel="0" collapsed="false">
      <c r="A62" s="0" t="n">
        <v>0.350877192982456</v>
      </c>
      <c r="E62" s="0" t="n">
        <v>0.385964912280702</v>
      </c>
    </row>
    <row r="63" customFormat="false" ht="12.8" hidden="false" customHeight="false" outlineLevel="0" collapsed="false">
      <c r="A63" s="0" t="n">
        <v>0.385964912280702</v>
      </c>
      <c r="E63" s="0" t="n">
        <v>0.403508771929825</v>
      </c>
    </row>
    <row r="64" customFormat="false" ht="12.8" hidden="false" customHeight="false" outlineLevel="0" collapsed="false">
      <c r="A64" s="0" t="n">
        <v>0.385964912280702</v>
      </c>
      <c r="E64" s="0" t="n">
        <v>0.473684210526316</v>
      </c>
    </row>
    <row r="65" customFormat="false" ht="12.8" hidden="false" customHeight="false" outlineLevel="0" collapsed="false">
      <c r="A65" s="0" t="n">
        <v>0.385964912280702</v>
      </c>
      <c r="E65" s="0" t="n">
        <v>0.56140350877193</v>
      </c>
    </row>
    <row r="66" customFormat="false" ht="12.8" hidden="false" customHeight="false" outlineLevel="0" collapsed="false">
      <c r="A66" s="0" t="n">
        <v>0.385964912280702</v>
      </c>
      <c r="E66" s="0" t="n">
        <v>0.578947368421053</v>
      </c>
    </row>
    <row r="67" customFormat="false" ht="12.8" hidden="false" customHeight="false" outlineLevel="0" collapsed="false">
      <c r="A67" s="0" t="n">
        <v>0.403508771929825</v>
      </c>
      <c r="E67" s="0" t="n">
        <v>0.68421052631579</v>
      </c>
    </row>
    <row r="68" customFormat="false" ht="12.8" hidden="false" customHeight="false" outlineLevel="0" collapsed="false">
      <c r="A68" s="0" t="n">
        <v>0.473684210526316</v>
      </c>
      <c r="E68" s="0" t="n">
        <v>1</v>
      </c>
    </row>
    <row r="69" customFormat="false" ht="12.8" hidden="false" customHeight="false" outlineLevel="0" collapsed="false">
      <c r="A69" s="0" t="n">
        <v>0.56140350877193</v>
      </c>
    </row>
    <row r="70" customFormat="false" ht="12.8" hidden="false" customHeight="false" outlineLevel="0" collapsed="false">
      <c r="A70" s="0" t="n">
        <v>0.578947368421053</v>
      </c>
    </row>
    <row r="71" customFormat="false" ht="12.8" hidden="false" customHeight="false" outlineLevel="0" collapsed="false">
      <c r="A71" s="0" t="n">
        <v>0.68421052631579</v>
      </c>
    </row>
    <row r="72" customFormat="false" ht="12.8" hidden="false" customHeight="false" outlineLevel="0" collapsed="false">
      <c r="A72" s="0" t="n">
        <v>1</v>
      </c>
    </row>
    <row r="77" customFormat="false" ht="15" hidden="false" customHeight="false" outlineLevel="0" collapsed="false">
      <c r="A77" s="2" t="s">
        <v>10</v>
      </c>
      <c r="B77" s="2" t="s">
        <v>11</v>
      </c>
      <c r="C77" s="2" t="s">
        <v>12</v>
      </c>
      <c r="D77" s="2" t="s">
        <v>13</v>
      </c>
      <c r="E77" s="2" t="s">
        <v>14</v>
      </c>
    </row>
    <row r="78" customFormat="false" ht="15" hidden="false" customHeight="false" outlineLevel="0" collapsed="false">
      <c r="A78" s="3" t="s">
        <v>15</v>
      </c>
      <c r="B78" s="3" t="s">
        <v>16</v>
      </c>
      <c r="C78" s="3" t="s">
        <v>17</v>
      </c>
      <c r="D78" s="3" t="s">
        <v>18</v>
      </c>
      <c r="E78" s="3" t="n">
        <v>30</v>
      </c>
    </row>
    <row r="79" customFormat="false" ht="15" hidden="false" customHeight="false" outlineLevel="0" collapsed="false">
      <c r="A79" s="3" t="s">
        <v>15</v>
      </c>
      <c r="B79" s="3" t="s">
        <v>19</v>
      </c>
      <c r="C79" s="3" t="s">
        <v>20</v>
      </c>
      <c r="D79" s="3" t="s">
        <v>21</v>
      </c>
      <c r="E79" s="3" t="n">
        <v>40</v>
      </c>
    </row>
    <row r="80" customFormat="false" ht="15" hidden="false" customHeight="false" outlineLevel="0" collapsed="false">
      <c r="A80" s="3" t="s">
        <v>15</v>
      </c>
      <c r="B80" s="3" t="s">
        <v>16</v>
      </c>
      <c r="C80" s="3" t="s">
        <v>22</v>
      </c>
      <c r="D80" s="3" t="s">
        <v>21</v>
      </c>
      <c r="E80" s="3" t="n">
        <v>40</v>
      </c>
    </row>
    <row r="81" customFormat="false" ht="15" hidden="false" customHeight="false" outlineLevel="0" collapsed="false">
      <c r="A81" s="3" t="s">
        <v>23</v>
      </c>
      <c r="B81" s="3" t="s">
        <v>24</v>
      </c>
      <c r="C81" s="3" t="s">
        <v>17</v>
      </c>
      <c r="D81" s="3" t="s">
        <v>21</v>
      </c>
      <c r="E81" s="3" t="n">
        <v>20</v>
      </c>
    </row>
    <row r="82" customFormat="false" ht="15" hidden="false" customHeight="false" outlineLevel="0" collapsed="false">
      <c r="A82" s="3" t="s">
        <v>23</v>
      </c>
      <c r="B82" s="3" t="s">
        <v>16</v>
      </c>
      <c r="C82" s="3" t="s">
        <v>25</v>
      </c>
      <c r="D82" s="3" t="s">
        <v>18</v>
      </c>
      <c r="E82" s="3" t="n">
        <v>5</v>
      </c>
    </row>
    <row r="83" customFormat="false" ht="15" hidden="false" customHeight="false" outlineLevel="0" collapsed="false">
      <c r="A83" s="3" t="s">
        <v>23</v>
      </c>
      <c r="B83" s="3" t="s">
        <v>19</v>
      </c>
      <c r="C83" s="3" t="s">
        <v>17</v>
      </c>
      <c r="D83" s="3" t="s">
        <v>21</v>
      </c>
      <c r="E83" s="3" t="n">
        <v>3</v>
      </c>
    </row>
    <row r="84" customFormat="false" ht="15" hidden="false" customHeight="false" outlineLevel="0" collapsed="false">
      <c r="A84" s="3" t="s">
        <v>23</v>
      </c>
      <c r="B84" s="3" t="s">
        <v>26</v>
      </c>
      <c r="C84" s="3" t="s">
        <v>25</v>
      </c>
      <c r="D84" s="3" t="s">
        <v>18</v>
      </c>
      <c r="E84" s="3" t="n">
        <v>3</v>
      </c>
    </row>
    <row r="85" customFormat="false" ht="15" hidden="false" customHeight="false" outlineLevel="0" collapsed="false">
      <c r="A85" s="3" t="s">
        <v>27</v>
      </c>
      <c r="B85" s="3" t="s">
        <v>28</v>
      </c>
      <c r="C85" s="3" t="s">
        <v>17</v>
      </c>
      <c r="D85" s="3" t="s">
        <v>18</v>
      </c>
      <c r="E85" s="3" t="n">
        <v>10</v>
      </c>
    </row>
    <row r="86" customFormat="false" ht="15" hidden="false" customHeight="false" outlineLevel="0" collapsed="false">
      <c r="A86" s="3" t="s">
        <v>27</v>
      </c>
      <c r="B86" s="3" t="s">
        <v>16</v>
      </c>
      <c r="C86" s="3" t="s">
        <v>29</v>
      </c>
      <c r="D86" s="3" t="s">
        <v>21</v>
      </c>
      <c r="E86" s="3" t="n">
        <v>4</v>
      </c>
    </row>
    <row r="87" customFormat="false" ht="15" hidden="false" customHeight="false" outlineLevel="0" collapsed="false">
      <c r="A87" s="3" t="s">
        <v>30</v>
      </c>
      <c r="B87" s="3" t="s">
        <v>31</v>
      </c>
      <c r="C87" s="3" t="s">
        <v>32</v>
      </c>
      <c r="D87" s="3" t="s">
        <v>18</v>
      </c>
      <c r="E87" s="3" t="n">
        <v>4</v>
      </c>
    </row>
    <row r="88" customFormat="false" ht="15" hidden="false" customHeight="false" outlineLevel="0" collapsed="false">
      <c r="A88" s="3" t="s">
        <v>30</v>
      </c>
      <c r="B88" s="3" t="s">
        <v>19</v>
      </c>
      <c r="C88" s="3" t="s">
        <v>20</v>
      </c>
      <c r="D88" s="3" t="s">
        <v>21</v>
      </c>
      <c r="E88" s="3" t="n">
        <v>6</v>
      </c>
    </row>
    <row r="89" customFormat="false" ht="15" hidden="false" customHeight="false" outlineLevel="0" collapsed="false">
      <c r="A89" s="3"/>
      <c r="B89" s="3"/>
      <c r="C89" s="3"/>
      <c r="D89" s="3"/>
      <c r="E89" s="3"/>
    </row>
    <row r="90" customFormat="false" ht="12.8" hidden="false" customHeight="false" outlineLevel="0" collapsed="false">
      <c r="C90" s="0" t="s">
        <v>33</v>
      </c>
      <c r="D90" s="0" t="s">
        <v>34</v>
      </c>
    </row>
    <row r="92" customFormat="false" ht="12.8" hidden="false" customHeight="false" outlineLevel="0" collapsed="false">
      <c r="A92" s="0" t="s">
        <v>35</v>
      </c>
      <c r="B92" s="0" t="n">
        <f aca="false">SUMIF(D78:D88,"junior",E78:E88)</f>
        <v>113</v>
      </c>
      <c r="C92" s="0" t="n">
        <f aca="false">B92/B94</f>
        <v>0.684848484848485</v>
      </c>
      <c r="D92" s="0" t="n">
        <f aca="false">-(C92*LOG(C92,2))</f>
        <v>0.37402537852643</v>
      </c>
    </row>
    <row r="93" customFormat="false" ht="12.8" hidden="false" customHeight="false" outlineLevel="0" collapsed="false">
      <c r="A93" s="0" t="s">
        <v>36</v>
      </c>
      <c r="B93" s="0" t="n">
        <f aca="false">SUMIF(D78:D88,"senior",E78:E88)</f>
        <v>52</v>
      </c>
      <c r="C93" s="0" t="n">
        <f aca="false">B93/B94</f>
        <v>0.315151515151515</v>
      </c>
      <c r="D93" s="0" t="n">
        <f aca="false">-(C93*LOG(C93,2))</f>
        <v>0.525005392711792</v>
      </c>
    </row>
    <row r="94" customFormat="false" ht="12.8" hidden="false" customHeight="false" outlineLevel="0" collapsed="false">
      <c r="A94" s="0" t="s">
        <v>37</v>
      </c>
      <c r="B94" s="0" t="n">
        <f aca="false">SUM(B92:B93)</f>
        <v>165</v>
      </c>
      <c r="C94" s="0" t="n">
        <v>1</v>
      </c>
      <c r="D94" s="0" t="n">
        <f aca="false">SUM(D92:D93)</f>
        <v>0.899030771238222</v>
      </c>
    </row>
    <row r="96" customFormat="false" ht="12.8" hidden="false" customHeight="false" outlineLevel="0" collapsed="false">
      <c r="A96" s="0" t="s">
        <v>10</v>
      </c>
      <c r="B96" s="0" t="s">
        <v>38</v>
      </c>
      <c r="C96" s="0" t="s">
        <v>39</v>
      </c>
      <c r="D96" s="0" t="s">
        <v>40</v>
      </c>
      <c r="E96" s="0" t="s">
        <v>41</v>
      </c>
      <c r="F96" s="0" t="s">
        <v>42</v>
      </c>
      <c r="G96" s="0" t="s">
        <v>34</v>
      </c>
      <c r="H96" s="0" t="s">
        <v>43</v>
      </c>
      <c r="I96" s="0" t="s">
        <v>44</v>
      </c>
    </row>
    <row r="97" customFormat="false" ht="12.8" hidden="false" customHeight="false" outlineLevel="0" collapsed="false">
      <c r="A97" s="0" t="s">
        <v>15</v>
      </c>
      <c r="B97" s="0" t="n">
        <f aca="false">SUMIF(A78:A88,A97,E78:E88)</f>
        <v>110</v>
      </c>
      <c r="C97" s="0" t="n">
        <f aca="false">SUMIFS($E$78:$E$88, $A$78:$A$88,A97,$D$78:$D$88,$C$96)</f>
        <v>30</v>
      </c>
      <c r="D97" s="0" t="n">
        <f aca="false">SUMIFS($E$78:$E$88, $A$78:$A$88,A97,$D$78:$D$88,$D$96)</f>
        <v>80</v>
      </c>
      <c r="E97" s="0" t="n">
        <f aca="false">C97/$B97</f>
        <v>0.272727272727273</v>
      </c>
      <c r="F97" s="0" t="n">
        <f aca="false">D97/$B97</f>
        <v>0.727272727272727</v>
      </c>
      <c r="G97" s="0" t="n">
        <f aca="false">-(E97*(LOG(E97,2))+(F97*LOG(F97,2)))</f>
        <v>0.845350936622437</v>
      </c>
      <c r="H97" s="0" t="n">
        <f aca="false">($B$97/$B$94*G97+($B$98/$B$94*G98)+($B$99/$B$94*G99)+($B$100/$B$94*G100))</f>
        <v>0.850423985246239</v>
      </c>
      <c r="I97" s="0" t="n">
        <f aca="false">D94-H97</f>
        <v>0.0486067859919834</v>
      </c>
    </row>
    <row r="98" customFormat="false" ht="12.8" hidden="false" customHeight="false" outlineLevel="0" collapsed="false">
      <c r="A98" s="0" t="s">
        <v>23</v>
      </c>
      <c r="B98" s="0" t="n">
        <f aca="false">SUMIF(A79:A89,A98,E79:E89)</f>
        <v>31</v>
      </c>
      <c r="C98" s="0" t="n">
        <f aca="false">SUMIFS($E$78:$E$88, $A$78:$A$88,A98,$D$78:$D$88,$C$96)</f>
        <v>8</v>
      </c>
      <c r="D98" s="0" t="n">
        <f aca="false">SUMIFS($E$78:$E$88, $A$78:$A$88,A98,$D$78:$D$88,$D$96)</f>
        <v>23</v>
      </c>
      <c r="E98" s="0" t="n">
        <f aca="false">C98/$B98</f>
        <v>0.258064516129032</v>
      </c>
      <c r="F98" s="0" t="n">
        <f aca="false">D98/$B98</f>
        <v>0.741935483870968</v>
      </c>
      <c r="G98" s="0" t="n">
        <f aca="false">-(E98*(LOG(E98,2))+(F98*LOG(F98,2)))</f>
        <v>0.823811633312317</v>
      </c>
    </row>
    <row r="99" customFormat="false" ht="12.8" hidden="false" customHeight="false" outlineLevel="0" collapsed="false">
      <c r="A99" s="0" t="s">
        <v>27</v>
      </c>
      <c r="B99" s="0" t="n">
        <f aca="false">SUMIF(A80:A90,A99,E80:E90)</f>
        <v>14</v>
      </c>
      <c r="C99" s="0" t="n">
        <f aca="false">SUMIFS($E$78:$E$88, $A$78:$A$88,A99,$D$78:$D$88,$C$96)</f>
        <v>10</v>
      </c>
      <c r="D99" s="0" t="n">
        <f aca="false">SUMIFS($E$78:$E$88, $A$78:$A$88,A99,$D$78:$D$88,$D$96)</f>
        <v>4</v>
      </c>
      <c r="E99" s="0" t="n">
        <f aca="false">C99/$B99</f>
        <v>0.714285714285714</v>
      </c>
      <c r="F99" s="0" t="n">
        <f aca="false">D99/$B99</f>
        <v>0.285714285714286</v>
      </c>
      <c r="G99" s="0" t="n">
        <f aca="false">-(E99*(LOG(E99,2))+(F99*LOG(F99,2)))</f>
        <v>0.863120568566631</v>
      </c>
    </row>
    <row r="100" customFormat="false" ht="12.8" hidden="false" customHeight="false" outlineLevel="0" collapsed="false">
      <c r="A100" s="0" t="s">
        <v>30</v>
      </c>
      <c r="B100" s="0" t="n">
        <f aca="false">SUMIF(A81:A91,A100,E81:E91)</f>
        <v>10</v>
      </c>
      <c r="C100" s="0" t="n">
        <f aca="false">SUMIFS($E$78:$E$88, $A$78:$A$88,A100,$D$78:$D$88,$C$96)</f>
        <v>4</v>
      </c>
      <c r="D100" s="0" t="n">
        <f aca="false">SUMIFS($E$78:$E$88, $A$78:$A$88,A100,$D$78:$D$88,$D$96)</f>
        <v>6</v>
      </c>
      <c r="E100" s="0" t="n">
        <f aca="false">C100/$B100</f>
        <v>0.4</v>
      </c>
      <c r="F100" s="0" t="n">
        <f aca="false">D100/$B100</f>
        <v>0.6</v>
      </c>
      <c r="G100" s="0" t="n">
        <f aca="false">-(E100*(LOG(E100,2))+(F100*LOG(F100,2)))</f>
        <v>0.970950594454669</v>
      </c>
    </row>
    <row r="102" customFormat="false" ht="12.8" hidden="false" customHeight="false" outlineLevel="0" collapsed="false">
      <c r="A102" s="0" t="s">
        <v>11</v>
      </c>
    </row>
    <row r="103" customFormat="false" ht="12.8" hidden="false" customHeight="false" outlineLevel="0" collapsed="false">
      <c r="A103" s="0" t="s">
        <v>24</v>
      </c>
      <c r="B103" s="0" t="n">
        <f aca="false">SUMIF($B$78:$B$88,A103,$E$78:$E$88)</f>
        <v>20</v>
      </c>
      <c r="C103" s="0" t="n">
        <f aca="false">SUMIFS($E$78:$E$88, $B$78:$B$88,$A103,$D$78:$D$88,C$96)</f>
        <v>0</v>
      </c>
      <c r="D103" s="0" t="n">
        <f aca="false">SUMIFS($E$78:$E$88, $B$78:$B$88,$A103,$D$78:$D$88,D$96)</f>
        <v>20</v>
      </c>
      <c r="E103" s="0" t="n">
        <f aca="false">C103/$B103</f>
        <v>0</v>
      </c>
      <c r="F103" s="0" t="n">
        <f aca="false">D103/$B103</f>
        <v>1</v>
      </c>
      <c r="G103" s="0" t="n">
        <v>0</v>
      </c>
      <c r="H103" s="0" t="n">
        <f aca="false">(B105/B94)*G105</f>
        <v>0.474295650259856</v>
      </c>
      <c r="I103" s="0" t="n">
        <f aca="false">D94-H103</f>
        <v>0.424735120978366</v>
      </c>
    </row>
    <row r="104" customFormat="false" ht="12.8" hidden="false" customHeight="false" outlineLevel="0" collapsed="false">
      <c r="A104" s="0" t="s">
        <v>19</v>
      </c>
      <c r="B104" s="0" t="n">
        <f aca="false">SUMIF($B$78:$B$88,A104,$E$78:$E$88)</f>
        <v>49</v>
      </c>
      <c r="C104" s="0" t="n">
        <f aca="false">SUMIFS($E$78:$E$88, $B$78:$B$88,$A104,$D$78:$D$88,C$96)</f>
        <v>0</v>
      </c>
      <c r="D104" s="0" t="n">
        <f aca="false">SUMIFS($E$78:$E$88, $B$78:$B$88,$A104,$D$78:$D$88,D$96)</f>
        <v>49</v>
      </c>
      <c r="E104" s="0" t="n">
        <f aca="false">C104/$B104</f>
        <v>0</v>
      </c>
      <c r="F104" s="0" t="n">
        <f aca="false">D104/$B104</f>
        <v>1</v>
      </c>
      <c r="G104" s="0" t="n">
        <v>0</v>
      </c>
    </row>
    <row r="105" customFormat="false" ht="12.8" hidden="false" customHeight="false" outlineLevel="0" collapsed="false">
      <c r="A105" s="0" t="s">
        <v>16</v>
      </c>
      <c r="B105" s="0" t="n">
        <f aca="false">SUMIF($B$78:$B$88,A105,$E$78:$E$88)</f>
        <v>79</v>
      </c>
      <c r="C105" s="0" t="n">
        <f aca="false">SUMIFS($E$78:$E$88, $B$78:$B$88,$A105,$D$78:$D$88,C$96)</f>
        <v>35</v>
      </c>
      <c r="D105" s="0" t="n">
        <f aca="false">SUMIFS($E$78:$E$88, $B$78:$B$88,$A105,$D$78:$D$88,D$96)</f>
        <v>44</v>
      </c>
      <c r="E105" s="0" t="n">
        <f aca="false">C105/$B105</f>
        <v>0.443037974683544</v>
      </c>
      <c r="F105" s="0" t="n">
        <f aca="false">D105/$B105</f>
        <v>0.556962025316456</v>
      </c>
      <c r="G105" s="0" t="n">
        <f aca="false">-((E105*LOG(E105,2))+(F105*LOG(F105,2)))</f>
        <v>0.99061749737818</v>
      </c>
    </row>
    <row r="106" customFormat="false" ht="12.8" hidden="false" customHeight="false" outlineLevel="0" collapsed="false">
      <c r="A106" s="0" t="s">
        <v>28</v>
      </c>
      <c r="B106" s="0" t="n">
        <f aca="false">SUMIF($B$78:$B$88,A106,$E$78:$E$88)</f>
        <v>10</v>
      </c>
      <c r="C106" s="0" t="n">
        <f aca="false">SUMIFS($E$78:$E$88, $B$78:$B$88,$A106,$D$78:$D$88,C$96)</f>
        <v>10</v>
      </c>
      <c r="D106" s="0" t="n">
        <f aca="false">SUMIFS($E$78:$E$88, $B$78:$B$88,$A106,$D$78:$D$88,D$96)</f>
        <v>0</v>
      </c>
      <c r="E106" s="0" t="n">
        <f aca="false">C106/$B106</f>
        <v>1</v>
      </c>
      <c r="F106" s="0" t="n">
        <f aca="false">D106/$B106</f>
        <v>0</v>
      </c>
      <c r="G106" s="0" t="n">
        <v>0</v>
      </c>
    </row>
    <row r="107" customFormat="false" ht="12.8" hidden="false" customHeight="false" outlineLevel="0" collapsed="false">
      <c r="A107" s="0" t="s">
        <v>26</v>
      </c>
      <c r="B107" s="0" t="n">
        <f aca="false">SUMIF($B$78:$B$88,A107,$E$78:$E$88)</f>
        <v>3</v>
      </c>
      <c r="C107" s="0" t="n">
        <f aca="false">SUMIFS($E$78:$E$88, $B$78:$B$88,$A107,$D$78:$D$88,C$96)</f>
        <v>3</v>
      </c>
      <c r="D107" s="0" t="n">
        <f aca="false">SUMIFS($E$78:$E$88, $B$78:$B$88,$A107,$D$78:$D$88,D$96)</f>
        <v>0</v>
      </c>
      <c r="E107" s="0" t="n">
        <f aca="false">C107/$B107</f>
        <v>1</v>
      </c>
      <c r="F107" s="0" t="n">
        <f aca="false">D107/$B107</f>
        <v>0</v>
      </c>
      <c r="G107" s="0" t="n">
        <v>0</v>
      </c>
    </row>
    <row r="108" customFormat="false" ht="12.8" hidden="false" customHeight="false" outlineLevel="0" collapsed="false">
      <c r="A108" s="0" t="s">
        <v>31</v>
      </c>
      <c r="B108" s="0" t="n">
        <f aca="false">SUMIF($B$78:$B$88,A108,$E$78:$E$88)</f>
        <v>4</v>
      </c>
      <c r="C108" s="0" t="n">
        <f aca="false">SUMIFS($E$78:$E$88, $B$78:$B$88,$A108,$D$78:$D$88,C$96)</f>
        <v>4</v>
      </c>
      <c r="D108" s="0" t="n">
        <f aca="false">SUMIFS($E$78:$E$88, $B$78:$B$88,$A108,$D$78:$D$88,D$96)</f>
        <v>0</v>
      </c>
      <c r="E108" s="0" t="n">
        <f aca="false">C108/$B108</f>
        <v>1</v>
      </c>
      <c r="F108" s="0" t="n">
        <f aca="false">D108/$B108</f>
        <v>0</v>
      </c>
      <c r="G108" s="0" t="n">
        <v>0</v>
      </c>
    </row>
    <row r="110" customFormat="false" ht="12.8" hidden="false" customHeight="false" outlineLevel="0" collapsed="false">
      <c r="A110" s="0" t="s">
        <v>12</v>
      </c>
    </row>
    <row r="111" customFormat="false" ht="12.8" hidden="false" customHeight="false" outlineLevel="0" collapsed="false">
      <c r="A111" s="0" t="s">
        <v>20</v>
      </c>
      <c r="B111" s="0" t="n">
        <f aca="false">SUMIF($C$78:$C$88,A111,$E$78:$E$88)</f>
        <v>46</v>
      </c>
      <c r="C111" s="0" t="n">
        <f aca="false">SUMIFS($E$78:$E$88, $C$78:$C$88,$A111,$D$78:$D$88,C$96)</f>
        <v>0</v>
      </c>
      <c r="D111" s="0" t="n">
        <f aca="false">SUMIFS($E$78:$E$88, $C$78:$C$88,$A111,$D$78:$D$88,D$96)</f>
        <v>46</v>
      </c>
      <c r="E111" s="0" t="n">
        <f aca="false">C111/B111</f>
        <v>0</v>
      </c>
      <c r="F111" s="0" t="n">
        <f aca="false">D111/$B111</f>
        <v>1</v>
      </c>
      <c r="G111" s="0" t="n">
        <v>0</v>
      </c>
      <c r="H111" s="0" t="n">
        <v>0</v>
      </c>
    </row>
    <row r="112" customFormat="false" ht="12.8" hidden="false" customHeight="false" outlineLevel="0" collapsed="false">
      <c r="A112" s="0" t="s">
        <v>22</v>
      </c>
      <c r="B112" s="0" t="n">
        <f aca="false">SUMIF($C$78:$C$88,A112,$E$78:$E$88)</f>
        <v>40</v>
      </c>
      <c r="C112" s="0" t="n">
        <f aca="false">SUMIFS($E$78:$E$88, $C$78:$C$88,$A112,$D$78:$D$88,C$96)</f>
        <v>0</v>
      </c>
      <c r="D112" s="0" t="n">
        <f aca="false">SUMIFS($E$78:$E$88, $C$78:$C$88,$A112,$D$78:$D$88,D$96)</f>
        <v>40</v>
      </c>
      <c r="E112" s="0" t="n">
        <f aca="false">C112/B112</f>
        <v>0</v>
      </c>
      <c r="F112" s="0" t="n">
        <f aca="false">D112/$B112</f>
        <v>1</v>
      </c>
      <c r="G112" s="0" t="n">
        <v>0</v>
      </c>
      <c r="H112" s="0" t="n">
        <v>0</v>
      </c>
    </row>
    <row r="113" customFormat="false" ht="12.8" hidden="false" customHeight="false" outlineLevel="0" collapsed="false">
      <c r="A113" s="0" t="s">
        <v>32</v>
      </c>
      <c r="B113" s="0" t="n">
        <f aca="false">SUMIF($C$78:$C$88,A113,$E$78:$E$88)</f>
        <v>4</v>
      </c>
      <c r="C113" s="0" t="n">
        <f aca="false">SUMIFS($E$78:$E$88, $C$78:$C$88,$A113,$D$78:$D$88,C$96)</f>
        <v>4</v>
      </c>
      <c r="D113" s="0" t="n">
        <f aca="false">SUMIFS($E$78:$E$88, $C$78:$C$88,$A113,$D$78:$D$88,D$96)</f>
        <v>0</v>
      </c>
      <c r="E113" s="0" t="n">
        <f aca="false">C113/B113</f>
        <v>1</v>
      </c>
      <c r="F113" s="0" t="n">
        <f aca="false">D113/$B113</f>
        <v>0</v>
      </c>
      <c r="G113" s="0" t="n">
        <v>0</v>
      </c>
      <c r="H113" s="0" t="n">
        <v>0</v>
      </c>
    </row>
    <row r="114" customFormat="false" ht="12.8" hidden="false" customHeight="false" outlineLevel="0" collapsed="false">
      <c r="A114" s="0" t="s">
        <v>29</v>
      </c>
      <c r="B114" s="0" t="n">
        <f aca="false">SUMIF($C$78:$C$88,A114,$E$78:$E$88)</f>
        <v>4</v>
      </c>
      <c r="C114" s="0" t="n">
        <f aca="false">SUMIFS($E$78:$E$88, $C$78:$C$88,$A114,$D$78:$D$88,C$96)</f>
        <v>0</v>
      </c>
      <c r="D114" s="0" t="n">
        <f aca="false">SUMIFS($E$78:$E$88, $C$78:$C$88,$A114,$D$78:$D$88,D$96)</f>
        <v>4</v>
      </c>
      <c r="E114" s="0" t="n">
        <f aca="false">C114/B114</f>
        <v>0</v>
      </c>
      <c r="F114" s="0" t="n">
        <f aca="false">D114/$B114</f>
        <v>1</v>
      </c>
      <c r="G114" s="0" t="n">
        <v>0</v>
      </c>
      <c r="H114" s="0" t="n">
        <v>0</v>
      </c>
    </row>
    <row r="115" customFormat="false" ht="12.8" hidden="false" customHeight="false" outlineLevel="0" collapsed="false">
      <c r="A115" s="0" t="s">
        <v>17</v>
      </c>
      <c r="B115" s="0" t="n">
        <f aca="false">SUMIF($C$78:$C$88,A115,$E$78:$E$88)</f>
        <v>63</v>
      </c>
      <c r="C115" s="0" t="n">
        <f aca="false">SUMIFS($E$78:$E$88, $C$78:$C$88,$A115,$D$78:$D$88,C$96)</f>
        <v>40</v>
      </c>
      <c r="D115" s="0" t="n">
        <f aca="false">SUMIFS($E$78:$E$88, $C$78:$C$88,$A115,$D$78:$D$88,D$96)</f>
        <v>23</v>
      </c>
      <c r="E115" s="0" t="n">
        <f aca="false">C115/B115</f>
        <v>0.634920634920635</v>
      </c>
      <c r="F115" s="0" t="n">
        <f aca="false">D115/$B115</f>
        <v>0.365079365079365</v>
      </c>
      <c r="G115" s="0" t="n">
        <f aca="false">-((E115*LOG(E115,2))+(F115*LOG(F115,2)))</f>
        <v>0.946818831677603</v>
      </c>
      <c r="H115" s="0" t="n">
        <f aca="false">(B115/B94)*G115</f>
        <v>0.361512644822357</v>
      </c>
      <c r="I115" s="0" t="n">
        <f aca="false">D94-H115</f>
        <v>0.537518126415865</v>
      </c>
    </row>
    <row r="116" customFormat="false" ht="12.8" hidden="false" customHeight="false" outlineLevel="0" collapsed="false">
      <c r="A116" s="0" t="s">
        <v>25</v>
      </c>
      <c r="B116" s="0" t="n">
        <f aca="false">SUMIF($C$78:$C$88,A116,$E$78:$E$88)</f>
        <v>8</v>
      </c>
      <c r="C116" s="0" t="n">
        <f aca="false">SUMIFS($E$78:$E$88, $C$78:$C$88,$A116,$D$78:$D$88,C$96)</f>
        <v>8</v>
      </c>
      <c r="D116" s="0" t="n">
        <f aca="false">SUMIFS($E$78:$E$88, $C$78:$C$88,$A116,$D$78:$D$88,D$96)</f>
        <v>0</v>
      </c>
      <c r="E116" s="0" t="n">
        <f aca="false">C116/B116</f>
        <v>1</v>
      </c>
      <c r="F116" s="0" t="n">
        <f aca="false">D116/$B116</f>
        <v>0</v>
      </c>
      <c r="G116" s="0" t="n">
        <v>0</v>
      </c>
      <c r="H11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2025-10-26T08:14:47Z</dcterms:created>
  <dc:creator/>
  <dc:description/>
  <dc:language>en-US</dc:language>
  <cp:lastModifiedBy/>
  <dcterms:modified xsi:type="dcterms:W3CDTF">2025-10-26T16:11:12Z</dcterms:modified>
  <cp:revision>1</cp:revision>
  <dc:subject/>
  <dc:title/>
</cp:coreProperties>
</file>